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SIC_분류항목수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<sst xmlns="http://schemas.openxmlformats.org/spreadsheetml/2006/main" count="64" uniqueCount="57">
  <si>
    <r>
      <rPr>
        <b val="true"/>
        <sz val="13"/>
        <rFont val="Noto Sans CJK SC"/>
        <family val="2"/>
      </rPr>
      <t xml:space="preserve">한국표준산업분류 신구분류 단계별 분류 항목 수 비교 </t>
    </r>
    <r>
      <rPr>
        <b val="true"/>
        <sz val="13"/>
        <rFont val="Arial"/>
        <family val="0"/>
        <charset val="1"/>
      </rPr>
      <t xml:space="preserve">(10</t>
    </r>
    <r>
      <rPr>
        <b val="true"/>
        <sz val="13"/>
        <rFont val="Noto Sans CJK SC"/>
        <family val="2"/>
      </rPr>
      <t xml:space="preserve">차 → </t>
    </r>
    <r>
      <rPr>
        <b val="true"/>
        <sz val="13"/>
        <rFont val="Arial"/>
        <family val="0"/>
        <charset val="1"/>
      </rPr>
      <t xml:space="preserve">11</t>
    </r>
    <r>
      <rPr>
        <b val="true"/>
        <sz val="13"/>
        <rFont val="Noto Sans CJK SC"/>
        <family val="2"/>
      </rPr>
      <t xml:space="preserve">차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</si>
  <si>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출처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한국표준산업분류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제</t>
    </r>
    <r>
      <rPr>
        <i val="true"/>
        <sz val="9"/>
        <color rgb="FF666666"/>
        <rFont val="Arial"/>
        <family val="0"/>
        <charset val="1"/>
      </rPr>
      <t xml:space="preserve">11</t>
    </r>
    <r>
      <rPr>
        <i val="true"/>
        <sz val="9"/>
        <color rgb="FF666666"/>
        <rFont val="Noto Sans CJK SC"/>
        <family val="2"/>
      </rPr>
      <t xml:space="preserve">차</t>
    </r>
    <r>
      <rPr>
        <i val="true"/>
        <sz val="9"/>
        <color rgb="FF666666"/>
        <rFont val="Arial"/>
        <family val="0"/>
        <charset val="1"/>
      </rPr>
      <t xml:space="preserve">) </t>
    </r>
    <r>
      <rPr>
        <i val="true"/>
        <sz val="9"/>
        <color rgb="FF666666"/>
        <rFont val="Noto Sans CJK SC"/>
        <family val="2"/>
      </rPr>
      <t xml:space="preserve">분류표 </t>
    </r>
    <r>
      <rPr>
        <i val="true"/>
        <sz val="9"/>
        <color rgb="FF666666"/>
        <rFont val="Arial"/>
        <family val="0"/>
        <charset val="1"/>
      </rPr>
      <t xml:space="preserve">'3. </t>
    </r>
    <r>
      <rPr>
        <i val="true"/>
        <sz val="9"/>
        <color rgb="FF666666"/>
        <rFont val="Noto Sans CJK SC"/>
        <family val="2"/>
      </rPr>
      <t xml:space="preserve">표준산업분류 개요 </t>
    </r>
    <r>
      <rPr>
        <i val="true"/>
        <sz val="9"/>
        <color rgb="FF666666"/>
        <rFont val="Arial"/>
        <family val="0"/>
        <charset val="1"/>
      </rPr>
      <t xml:space="preserve">- </t>
    </r>
    <r>
      <rPr>
        <i val="true"/>
        <sz val="9"/>
        <color rgb="FF666666"/>
        <rFont val="Noto Sans CJK SC"/>
        <family val="2"/>
      </rPr>
      <t xml:space="preserve">자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신구분류 단계별 분류 항목 수 비교</t>
    </r>
    <r>
      <rPr>
        <i val="true"/>
        <sz val="9"/>
        <color rgb="FF666666"/>
        <rFont val="Arial"/>
        <family val="0"/>
        <charset val="1"/>
      </rPr>
      <t xml:space="preserve">' (</t>
    </r>
    <r>
      <rPr>
        <i val="true"/>
        <sz val="9"/>
        <color rgb="FF666666"/>
        <rFont val="Noto Sans CJK SC"/>
        <family val="2"/>
      </rPr>
      <t xml:space="preserve">사용자 업로드 </t>
    </r>
    <r>
      <rPr>
        <i val="true"/>
        <sz val="9"/>
        <color rgb="FF666666"/>
        <rFont val="Arial"/>
        <family val="0"/>
        <charset val="1"/>
      </rPr>
      <t xml:space="preserve">PDF </t>
    </r>
    <r>
      <rPr>
        <i val="true"/>
        <sz val="9"/>
        <color rgb="FF666666"/>
        <rFont val="Noto Sans CJK SC"/>
        <family val="2"/>
      </rPr>
      <t xml:space="preserve">최종 페이지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</si>
  <si>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대분류
코드</t>
  </si>
  <si>
    <t xml:space="preserve">대분류명</t>
  </si>
  <si>
    <t xml:space="preserve">중분류</t>
  </si>
  <si>
    <t xml:space="preserve">소분류</t>
  </si>
  <si>
    <t xml:space="preserve">세분류</t>
  </si>
  <si>
    <t xml:space="preserve">세세분류</t>
  </si>
  <si>
    <t xml:space="preserve">증감</t>
  </si>
  <si>
    <r>
      <rPr>
        <b val="true"/>
        <sz val="11"/>
        <rFont val="Arial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차</t>
    </r>
  </si>
  <si>
    <r>
      <rPr>
        <b val="true"/>
        <sz val="11"/>
        <rFont val="Arial"/>
        <family val="0"/>
        <charset val="1"/>
      </rPr>
      <t xml:space="preserve">11</t>
    </r>
    <r>
      <rPr>
        <b val="true"/>
        <sz val="11"/>
        <rFont val="Noto Sans CJK SC"/>
        <family val="2"/>
      </rPr>
      <t xml:space="preserve">차</t>
    </r>
  </si>
  <si>
    <t xml:space="preserve">A</t>
  </si>
  <si>
    <r>
      <rPr>
        <sz val="11"/>
        <rFont val="Noto Sans CJK SC"/>
        <family val="2"/>
      </rPr>
      <t xml:space="preserve">농업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임업 및 어업</t>
    </r>
  </si>
  <si>
    <t xml:space="preserve">B</t>
  </si>
  <si>
    <t xml:space="preserve">광업</t>
  </si>
  <si>
    <t xml:space="preserve">C</t>
  </si>
  <si>
    <t xml:space="preserve">제조업</t>
  </si>
  <si>
    <t xml:space="preserve">D</t>
  </si>
  <si>
    <r>
      <rPr>
        <sz val="11"/>
        <rFont val="Noto Sans CJK SC"/>
        <family val="2"/>
      </rPr>
      <t xml:space="preserve">전기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가스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증기 및 공기조절 공급업</t>
    </r>
  </si>
  <si>
    <t xml:space="preserve">E</t>
  </si>
  <si>
    <r>
      <rPr>
        <sz val="11"/>
        <rFont val="Noto Sans CJK SC"/>
        <family val="2"/>
      </rPr>
      <t xml:space="preserve">수도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하수 및 폐기물 처리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원료 재생업</t>
    </r>
  </si>
  <si>
    <t xml:space="preserve">F</t>
  </si>
  <si>
    <t xml:space="preserve">건설업</t>
  </si>
  <si>
    <t xml:space="preserve">G</t>
  </si>
  <si>
    <t xml:space="preserve">도매 및 소매업</t>
  </si>
  <si>
    <t xml:space="preserve">H</t>
  </si>
  <si>
    <t xml:space="preserve">운수 및 창고업</t>
  </si>
  <si>
    <t xml:space="preserve">I</t>
  </si>
  <si>
    <t xml:space="preserve">숙박 및 음식점업</t>
  </si>
  <si>
    <t xml:space="preserve">J</t>
  </si>
  <si>
    <t xml:space="preserve">정보통신업</t>
  </si>
  <si>
    <t xml:space="preserve">K</t>
  </si>
  <si>
    <t xml:space="preserve">금융 및 보험업</t>
  </si>
  <si>
    <t xml:space="preserve">L</t>
  </si>
  <si>
    <t xml:space="preserve">부동산업</t>
  </si>
  <si>
    <t xml:space="preserve">M</t>
  </si>
  <si>
    <r>
      <rPr>
        <sz val="11"/>
        <rFont val="Noto Sans CJK SC"/>
        <family val="2"/>
      </rPr>
      <t xml:space="preserve">전문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과학 및 기술서비스업</t>
    </r>
  </si>
  <si>
    <t xml:space="preserve">N</t>
  </si>
  <si>
    <r>
      <rPr>
        <sz val="11"/>
        <rFont val="Noto Sans CJK SC"/>
        <family val="2"/>
      </rPr>
      <t xml:space="preserve">사업시설 관리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사업 지원 및 임대 서비스업</t>
    </r>
  </si>
  <si>
    <t xml:space="preserve">O</t>
  </si>
  <si>
    <r>
      <rPr>
        <sz val="11"/>
        <rFont val="Noto Sans CJK SC"/>
        <family val="2"/>
      </rPr>
      <t xml:space="preserve">공공행정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국방 및 사회보장 행정</t>
    </r>
  </si>
  <si>
    <t xml:space="preserve">P</t>
  </si>
  <si>
    <t xml:space="preserve">교육서비스</t>
  </si>
  <si>
    <t xml:space="preserve">Q</t>
  </si>
  <si>
    <t xml:space="preserve">보건업 및 사회복지 서비스업</t>
  </si>
  <si>
    <t xml:space="preserve">R</t>
  </si>
  <si>
    <r>
      <rPr>
        <sz val="11"/>
        <rFont val="Noto Sans CJK SC"/>
        <family val="2"/>
      </rPr>
      <t xml:space="preserve">예술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스포츠 및 여가관련 서비스업</t>
    </r>
  </si>
  <si>
    <t xml:space="preserve">S</t>
  </si>
  <si>
    <r>
      <rPr>
        <sz val="11"/>
        <rFont val="Noto Sans CJK SC"/>
        <family val="2"/>
      </rPr>
      <t xml:space="preserve">협회 및 단체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수리 및 기타 개인 서비스업</t>
    </r>
  </si>
  <si>
    <t xml:space="preserve">T</t>
  </si>
  <si>
    <r>
      <rPr>
        <sz val="11"/>
        <rFont val="Noto Sans CJK SC"/>
        <family val="2"/>
      </rPr>
      <t xml:space="preserve">가구 내 고용활동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자가소비 생산활동</t>
    </r>
  </si>
  <si>
    <t xml:space="preserve">U</t>
  </si>
  <si>
    <t xml:space="preserve">국제 및 외국기관</t>
  </si>
  <si>
    <t xml:space="preserve">계</t>
  </si>
  <si>
    <r>
      <rPr>
        <b val="true"/>
        <sz val="11"/>
        <rFont val="Noto Sans CJK SC"/>
        <family val="2"/>
      </rPr>
      <t xml:space="preserve">대분류 </t>
    </r>
    <r>
      <rPr>
        <b val="true"/>
        <sz val="11"/>
        <rFont val="Arial"/>
        <family val="0"/>
        <charset val="1"/>
      </rPr>
      <t xml:space="preserve">21</t>
    </r>
    <r>
      <rPr>
        <b val="true"/>
        <sz val="11"/>
        <rFont val="Noto Sans CJK SC"/>
        <family val="2"/>
      </rPr>
      <t xml:space="preserve">개</t>
    </r>
  </si>
  <si>
    <r>
      <rPr>
        <sz val="11"/>
        <rFont val="Arial"/>
        <family val="0"/>
        <charset val="1"/>
      </rPr>
      <t xml:space="preserve">PDF </t>
    </r>
    <r>
      <rPr>
        <sz val="11"/>
        <rFont val="Noto Sans CJK SC"/>
        <family val="2"/>
      </rPr>
      <t xml:space="preserve">인쇄 합계</t>
    </r>
  </si>
  <si>
    <t xml:space="preserve">일치 여부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</si>
</sst>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11" min="3" style="0" width="9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true" outlineLevel="0" collapsed="false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customFormat="false" ht="17.15" hidden="false" customHeight="false" outlineLevel="0" collapsed="false">
      <c r="A5" s="3"/>
      <c r="B5" s="3"/>
      <c r="C5" s="4" t="s">
        <v>9</v>
      </c>
      <c r="D5" s="4" t="s">
        <v>10</v>
      </c>
      <c r="E5" s="4" t="s">
        <v>9</v>
      </c>
      <c r="F5" s="4" t="s">
        <v>10</v>
      </c>
      <c r="G5" s="4" t="s">
        <v>9</v>
      </c>
      <c r="H5" s="4" t="s">
        <v>10</v>
      </c>
      <c r="I5" s="4" t="s">
        <v>9</v>
      </c>
      <c r="J5" s="4" t="s">
        <v>10</v>
      </c>
      <c r="K5" s="3" t="s">
        <v>7</v>
      </c>
    </row>
    <row r="6" customFormat="false" ht="17.15" hidden="false" customHeight="false" outlineLevel="0" collapsed="false">
      <c r="A6" s="5" t="s">
        <v>11</v>
      </c>
      <c r="B6" s="6" t="s">
        <v>12</v>
      </c>
      <c r="C6" s="5" t="n">
        <v>3</v>
      </c>
      <c r="D6" s="5" t="n">
        <v>3</v>
      </c>
      <c r="E6" s="5" t="n">
        <v>8</v>
      </c>
      <c r="F6" s="5" t="n">
        <v>8</v>
      </c>
      <c r="G6" s="5" t="n">
        <v>21</v>
      </c>
      <c r="H6" s="5" t="n">
        <v>21</v>
      </c>
      <c r="I6" s="5" t="n">
        <v>34</v>
      </c>
      <c r="J6" s="5" t="n">
        <v>33</v>
      </c>
      <c r="K6" s="5" t="n">
        <f aca="false">J6-I6</f>
        <v>-1</v>
      </c>
    </row>
    <row r="7" customFormat="false" ht="15" hidden="false" customHeight="false" outlineLevel="0" collapsed="false">
      <c r="A7" s="5" t="s">
        <v>13</v>
      </c>
      <c r="B7" s="6" t="s">
        <v>14</v>
      </c>
      <c r="C7" s="5" t="n">
        <v>4</v>
      </c>
      <c r="D7" s="5" t="n">
        <v>4</v>
      </c>
      <c r="E7" s="5" t="n">
        <v>7</v>
      </c>
      <c r="F7" s="5" t="n">
        <v>7</v>
      </c>
      <c r="G7" s="5" t="n">
        <v>10</v>
      </c>
      <c r="H7" s="5" t="n">
        <v>10</v>
      </c>
      <c r="I7" s="5" t="n">
        <v>11</v>
      </c>
      <c r="J7" s="5" t="n">
        <v>11</v>
      </c>
      <c r="K7" s="5" t="n">
        <f aca="false">J7-I7</f>
        <v>0</v>
      </c>
    </row>
    <row r="8" customFormat="false" ht="15" hidden="false" customHeight="false" outlineLevel="0" collapsed="false">
      <c r="A8" s="5" t="s">
        <v>15</v>
      </c>
      <c r="B8" s="6" t="s">
        <v>16</v>
      </c>
      <c r="C8" s="5" t="n">
        <v>25</v>
      </c>
      <c r="D8" s="5" t="n">
        <v>25</v>
      </c>
      <c r="E8" s="5" t="n">
        <v>85</v>
      </c>
      <c r="F8" s="5" t="n">
        <v>85</v>
      </c>
      <c r="G8" s="5" t="n">
        <v>183</v>
      </c>
      <c r="H8" s="5" t="n">
        <v>182</v>
      </c>
      <c r="I8" s="5" t="n">
        <v>477</v>
      </c>
      <c r="J8" s="5" t="n">
        <v>480</v>
      </c>
      <c r="K8" s="5" t="n">
        <f aca="false">J8-I8</f>
        <v>3</v>
      </c>
    </row>
    <row r="9" customFormat="false" ht="17.15" hidden="false" customHeight="false" outlineLevel="0" collapsed="false">
      <c r="A9" s="5" t="s">
        <v>17</v>
      </c>
      <c r="B9" s="6" t="s">
        <v>18</v>
      </c>
      <c r="C9" s="5" t="n">
        <v>1</v>
      </c>
      <c r="D9" s="5" t="n">
        <v>1</v>
      </c>
      <c r="E9" s="5" t="n">
        <v>3</v>
      </c>
      <c r="F9" s="5" t="n">
        <v>3</v>
      </c>
      <c r="G9" s="5" t="n">
        <v>5</v>
      </c>
      <c r="H9" s="5" t="n">
        <v>5</v>
      </c>
      <c r="I9" s="5" t="n">
        <v>9</v>
      </c>
      <c r="J9" s="5" t="n">
        <v>10</v>
      </c>
      <c r="K9" s="5" t="n">
        <f aca="false">J9-I9</f>
        <v>1</v>
      </c>
    </row>
    <row r="10" customFormat="false" ht="17.15" hidden="false" customHeight="false" outlineLevel="0" collapsed="false">
      <c r="A10" s="5" t="s">
        <v>19</v>
      </c>
      <c r="B10" s="6" t="s">
        <v>20</v>
      </c>
      <c r="C10" s="5" t="n">
        <v>4</v>
      </c>
      <c r="D10" s="5" t="n">
        <v>4</v>
      </c>
      <c r="E10" s="5" t="n">
        <v>6</v>
      </c>
      <c r="F10" s="5" t="n">
        <v>6</v>
      </c>
      <c r="G10" s="5" t="n">
        <v>14</v>
      </c>
      <c r="H10" s="5" t="n">
        <v>14</v>
      </c>
      <c r="I10" s="5" t="n">
        <v>19</v>
      </c>
      <c r="J10" s="5" t="n">
        <v>19</v>
      </c>
      <c r="K10" s="5" t="n">
        <f aca="false">J10-I10</f>
        <v>0</v>
      </c>
    </row>
    <row r="11" customFormat="false" ht="15" hidden="false" customHeight="false" outlineLevel="0" collapsed="false">
      <c r="A11" s="5" t="s">
        <v>21</v>
      </c>
      <c r="B11" s="6" t="s">
        <v>22</v>
      </c>
      <c r="C11" s="5" t="n">
        <v>2</v>
      </c>
      <c r="D11" s="5" t="n">
        <v>2</v>
      </c>
      <c r="E11" s="5" t="n">
        <v>8</v>
      </c>
      <c r="F11" s="5" t="n">
        <v>8</v>
      </c>
      <c r="G11" s="5" t="n">
        <v>15</v>
      </c>
      <c r="H11" s="5" t="n">
        <v>16</v>
      </c>
      <c r="I11" s="5" t="n">
        <v>45</v>
      </c>
      <c r="J11" s="5" t="n">
        <v>46</v>
      </c>
      <c r="K11" s="5" t="n">
        <f aca="false">J11-I11</f>
        <v>1</v>
      </c>
    </row>
    <row r="12" customFormat="false" ht="15" hidden="false" customHeight="false" outlineLevel="0" collapsed="false">
      <c r="A12" s="5" t="s">
        <v>23</v>
      </c>
      <c r="B12" s="6" t="s">
        <v>24</v>
      </c>
      <c r="C12" s="5" t="n">
        <v>3</v>
      </c>
      <c r="D12" s="5" t="n">
        <v>3</v>
      </c>
      <c r="E12" s="5" t="n">
        <v>20</v>
      </c>
      <c r="F12" s="5" t="n">
        <v>20</v>
      </c>
      <c r="G12" s="5" t="n">
        <v>61</v>
      </c>
      <c r="H12" s="5" t="n">
        <v>62</v>
      </c>
      <c r="I12" s="5" t="n">
        <v>184</v>
      </c>
      <c r="J12" s="5" t="n">
        <v>186</v>
      </c>
      <c r="K12" s="5" t="n">
        <f aca="false">J12-I12</f>
        <v>2</v>
      </c>
    </row>
    <row r="13" customFormat="false" ht="15" hidden="false" customHeight="false" outlineLevel="0" collapsed="false">
      <c r="A13" s="5" t="s">
        <v>25</v>
      </c>
      <c r="B13" s="6" t="s">
        <v>26</v>
      </c>
      <c r="C13" s="5" t="n">
        <v>4</v>
      </c>
      <c r="D13" s="5" t="n">
        <v>4</v>
      </c>
      <c r="E13" s="5" t="n">
        <v>11</v>
      </c>
      <c r="F13" s="5" t="n">
        <v>11</v>
      </c>
      <c r="G13" s="5" t="n">
        <v>19</v>
      </c>
      <c r="H13" s="5" t="n">
        <v>19</v>
      </c>
      <c r="I13" s="5" t="n">
        <v>48</v>
      </c>
      <c r="J13" s="5" t="n">
        <v>47</v>
      </c>
      <c r="K13" s="5" t="n">
        <f aca="false">J13-I13</f>
        <v>-1</v>
      </c>
    </row>
    <row r="14" customFormat="false" ht="15" hidden="false" customHeight="false" outlineLevel="0" collapsed="false">
      <c r="A14" s="5" t="s">
        <v>27</v>
      </c>
      <c r="B14" s="6" t="s">
        <v>28</v>
      </c>
      <c r="C14" s="5" t="n">
        <v>2</v>
      </c>
      <c r="D14" s="5" t="n">
        <v>2</v>
      </c>
      <c r="E14" s="5" t="n">
        <v>4</v>
      </c>
      <c r="F14" s="5" t="n">
        <v>4</v>
      </c>
      <c r="G14" s="5" t="n">
        <v>9</v>
      </c>
      <c r="H14" s="5" t="n">
        <v>11</v>
      </c>
      <c r="I14" s="5" t="n">
        <v>29</v>
      </c>
      <c r="J14" s="5" t="n">
        <v>30</v>
      </c>
      <c r="K14" s="5" t="n">
        <f aca="false">J14-I14</f>
        <v>1</v>
      </c>
    </row>
    <row r="15" customFormat="false" ht="15" hidden="false" customHeight="false" outlineLevel="0" collapsed="false">
      <c r="A15" s="5" t="s">
        <v>29</v>
      </c>
      <c r="B15" s="6" t="s">
        <v>30</v>
      </c>
      <c r="C15" s="5" t="n">
        <v>6</v>
      </c>
      <c r="D15" s="5" t="n">
        <v>6</v>
      </c>
      <c r="E15" s="5" t="n">
        <v>11</v>
      </c>
      <c r="F15" s="5" t="n">
        <v>12</v>
      </c>
      <c r="G15" s="5" t="n">
        <v>24</v>
      </c>
      <c r="H15" s="5" t="n">
        <v>26</v>
      </c>
      <c r="I15" s="5" t="n">
        <v>42</v>
      </c>
      <c r="J15" s="5" t="n">
        <v>45</v>
      </c>
      <c r="K15" s="5" t="n">
        <f aca="false">J15-I15</f>
        <v>3</v>
      </c>
    </row>
    <row r="16" customFormat="false" ht="15" hidden="false" customHeight="false" outlineLevel="0" collapsed="false">
      <c r="A16" s="5" t="s">
        <v>31</v>
      </c>
      <c r="B16" s="6" t="s">
        <v>32</v>
      </c>
      <c r="C16" s="5" t="n">
        <v>3</v>
      </c>
      <c r="D16" s="5" t="n">
        <v>3</v>
      </c>
      <c r="E16" s="5" t="n">
        <v>8</v>
      </c>
      <c r="F16" s="5" t="n">
        <v>8</v>
      </c>
      <c r="G16" s="5" t="n">
        <v>15</v>
      </c>
      <c r="H16" s="5" t="n">
        <v>14</v>
      </c>
      <c r="I16" s="5" t="n">
        <v>32</v>
      </c>
      <c r="J16" s="5" t="n">
        <v>29</v>
      </c>
      <c r="K16" s="5" t="n">
        <f aca="false">J16-I16</f>
        <v>-3</v>
      </c>
    </row>
    <row r="17" customFormat="false" ht="15" hidden="false" customHeight="false" outlineLevel="0" collapsed="false">
      <c r="A17" s="5" t="s">
        <v>33</v>
      </c>
      <c r="B17" s="6" t="s">
        <v>34</v>
      </c>
      <c r="C17" s="5" t="n">
        <v>1</v>
      </c>
      <c r="D17" s="5" t="n">
        <v>1</v>
      </c>
      <c r="E17" s="5" t="n">
        <v>2</v>
      </c>
      <c r="F17" s="5" t="n">
        <v>2</v>
      </c>
      <c r="G17" s="5" t="n">
        <v>4</v>
      </c>
      <c r="H17" s="5" t="n">
        <v>4</v>
      </c>
      <c r="I17" s="5" t="n">
        <v>11</v>
      </c>
      <c r="J17" s="5" t="n">
        <v>12</v>
      </c>
      <c r="K17" s="5" t="n">
        <f aca="false">J17-I17</f>
        <v>1</v>
      </c>
    </row>
    <row r="18" customFormat="false" ht="17.15" hidden="false" customHeight="false" outlineLevel="0" collapsed="false">
      <c r="A18" s="5" t="s">
        <v>35</v>
      </c>
      <c r="B18" s="6" t="s">
        <v>36</v>
      </c>
      <c r="C18" s="5" t="n">
        <v>4</v>
      </c>
      <c r="D18" s="5" t="n">
        <v>4</v>
      </c>
      <c r="E18" s="5" t="n">
        <v>14</v>
      </c>
      <c r="F18" s="5" t="n">
        <v>14</v>
      </c>
      <c r="G18" s="5" t="n">
        <v>20</v>
      </c>
      <c r="H18" s="5" t="n">
        <v>20</v>
      </c>
      <c r="I18" s="5" t="n">
        <v>51</v>
      </c>
      <c r="J18" s="5" t="n">
        <v>50</v>
      </c>
      <c r="K18" s="5" t="n">
        <f aca="false">J18-I18</f>
        <v>-1</v>
      </c>
    </row>
    <row r="19" customFormat="false" ht="17.15" hidden="false" customHeight="false" outlineLevel="0" collapsed="false">
      <c r="A19" s="5" t="s">
        <v>37</v>
      </c>
      <c r="B19" s="6" t="s">
        <v>38</v>
      </c>
      <c r="C19" s="5" t="n">
        <v>3</v>
      </c>
      <c r="D19" s="5" t="n">
        <v>3</v>
      </c>
      <c r="E19" s="5" t="n">
        <v>11</v>
      </c>
      <c r="F19" s="5" t="n">
        <v>11</v>
      </c>
      <c r="G19" s="5" t="n">
        <v>22</v>
      </c>
      <c r="H19" s="5" t="n">
        <v>22</v>
      </c>
      <c r="I19" s="5" t="n">
        <v>32</v>
      </c>
      <c r="J19" s="5" t="n">
        <v>32</v>
      </c>
      <c r="K19" s="5" t="n">
        <f aca="false">J19-I19</f>
        <v>0</v>
      </c>
    </row>
    <row r="20" customFormat="false" ht="17.15" hidden="false" customHeight="false" outlineLevel="0" collapsed="false">
      <c r="A20" s="5" t="s">
        <v>39</v>
      </c>
      <c r="B20" s="6" t="s">
        <v>40</v>
      </c>
      <c r="C20" s="5" t="n">
        <v>1</v>
      </c>
      <c r="D20" s="5" t="n">
        <v>1</v>
      </c>
      <c r="E20" s="5" t="n">
        <v>5</v>
      </c>
      <c r="F20" s="5" t="n">
        <v>6</v>
      </c>
      <c r="G20" s="5" t="n">
        <v>8</v>
      </c>
      <c r="H20" s="5" t="n">
        <v>10</v>
      </c>
      <c r="I20" s="5" t="n">
        <v>25</v>
      </c>
      <c r="J20" s="5" t="n">
        <v>28</v>
      </c>
      <c r="K20" s="5" t="n">
        <f aca="false">J20-I20</f>
        <v>3</v>
      </c>
    </row>
    <row r="21" customFormat="false" ht="15" hidden="false" customHeight="false" outlineLevel="0" collapsed="false">
      <c r="A21" s="5" t="s">
        <v>41</v>
      </c>
      <c r="B21" s="6" t="s">
        <v>42</v>
      </c>
      <c r="C21" s="5" t="n">
        <v>1</v>
      </c>
      <c r="D21" s="5" t="n">
        <v>1</v>
      </c>
      <c r="E21" s="5" t="n">
        <v>7</v>
      </c>
      <c r="F21" s="5" t="n">
        <v>7</v>
      </c>
      <c r="G21" s="5" t="n">
        <v>17</v>
      </c>
      <c r="H21" s="5" t="n">
        <v>17</v>
      </c>
      <c r="I21" s="5" t="n">
        <v>33</v>
      </c>
      <c r="J21" s="5" t="n">
        <v>33</v>
      </c>
      <c r="K21" s="5" t="n">
        <f aca="false">J21-I21</f>
        <v>0</v>
      </c>
    </row>
    <row r="22" customFormat="false" ht="15" hidden="false" customHeight="false" outlineLevel="0" collapsed="false">
      <c r="A22" s="5" t="s">
        <v>43</v>
      </c>
      <c r="B22" s="6" t="s">
        <v>44</v>
      </c>
      <c r="C22" s="5" t="n">
        <v>2</v>
      </c>
      <c r="D22" s="5" t="n">
        <v>2</v>
      </c>
      <c r="E22" s="5" t="n">
        <v>6</v>
      </c>
      <c r="F22" s="5" t="n">
        <v>6</v>
      </c>
      <c r="G22" s="5" t="n">
        <v>9</v>
      </c>
      <c r="H22" s="5" t="n">
        <v>9</v>
      </c>
      <c r="I22" s="5" t="n">
        <v>25</v>
      </c>
      <c r="J22" s="5" t="n">
        <v>25</v>
      </c>
      <c r="K22" s="5" t="n">
        <f aca="false">J22-I22</f>
        <v>0</v>
      </c>
    </row>
    <row r="23" customFormat="false" ht="17.15" hidden="false" customHeight="false" outlineLevel="0" collapsed="false">
      <c r="A23" s="5" t="s">
        <v>45</v>
      </c>
      <c r="B23" s="6" t="s">
        <v>46</v>
      </c>
      <c r="C23" s="5" t="n">
        <v>2</v>
      </c>
      <c r="D23" s="5" t="n">
        <v>2</v>
      </c>
      <c r="E23" s="5" t="n">
        <v>4</v>
      </c>
      <c r="F23" s="5" t="n">
        <v>4</v>
      </c>
      <c r="G23" s="5" t="n">
        <v>17</v>
      </c>
      <c r="H23" s="5" t="n">
        <v>17</v>
      </c>
      <c r="I23" s="5" t="n">
        <v>43</v>
      </c>
      <c r="J23" s="5" t="n">
        <v>43</v>
      </c>
      <c r="K23" s="5" t="n">
        <f aca="false">J23-I23</f>
        <v>0</v>
      </c>
    </row>
    <row r="24" customFormat="false" ht="17.15" hidden="false" customHeight="false" outlineLevel="0" collapsed="false">
      <c r="A24" s="5" t="s">
        <v>47</v>
      </c>
      <c r="B24" s="6" t="s">
        <v>48</v>
      </c>
      <c r="C24" s="5" t="n">
        <v>3</v>
      </c>
      <c r="D24" s="5" t="n">
        <v>3</v>
      </c>
      <c r="E24" s="5" t="n">
        <v>8</v>
      </c>
      <c r="F24" s="5" t="n">
        <v>8</v>
      </c>
      <c r="G24" s="5" t="n">
        <v>18</v>
      </c>
      <c r="H24" s="5" t="n">
        <v>18</v>
      </c>
      <c r="I24" s="5" t="n">
        <v>41</v>
      </c>
      <c r="J24" s="5" t="n">
        <v>41</v>
      </c>
      <c r="K24" s="5" t="n">
        <f aca="false">J24-I24</f>
        <v>0</v>
      </c>
    </row>
    <row r="25" customFormat="false" ht="17.15" hidden="false" customHeight="false" outlineLevel="0" collapsed="false">
      <c r="A25" s="5" t="s">
        <v>49</v>
      </c>
      <c r="B25" s="6" t="s">
        <v>50</v>
      </c>
      <c r="C25" s="5" t="n">
        <v>2</v>
      </c>
      <c r="D25" s="5" t="n">
        <v>2</v>
      </c>
      <c r="E25" s="5" t="n">
        <v>3</v>
      </c>
      <c r="F25" s="5" t="n">
        <v>3</v>
      </c>
      <c r="G25" s="5" t="n">
        <v>3</v>
      </c>
      <c r="H25" s="5" t="n">
        <v>3</v>
      </c>
      <c r="I25" s="5" t="n">
        <v>3</v>
      </c>
      <c r="J25" s="5" t="n">
        <v>3</v>
      </c>
      <c r="K25" s="5" t="n">
        <f aca="false">J25-I25</f>
        <v>0</v>
      </c>
    </row>
    <row r="26" customFormat="false" ht="15" hidden="false" customHeight="false" outlineLevel="0" collapsed="false">
      <c r="A26" s="5" t="s">
        <v>51</v>
      </c>
      <c r="B26" s="6" t="s">
        <v>52</v>
      </c>
      <c r="C26" s="5" t="n">
        <v>1</v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2</v>
      </c>
      <c r="J26" s="5" t="n">
        <v>2</v>
      </c>
      <c r="K26" s="5" t="n">
        <f aca="false">J26-I26</f>
        <v>0</v>
      </c>
    </row>
    <row r="27" customFormat="false" ht="17.15" hidden="false" customHeight="false" outlineLevel="0" collapsed="false">
      <c r="A27" s="7" t="s">
        <v>53</v>
      </c>
      <c r="B27" s="7" t="s">
        <v>54</v>
      </c>
      <c r="C27" s="8" t="n">
        <f aca="false">SUM(C6:C26)</f>
        <v>77</v>
      </c>
      <c r="D27" s="8" t="n">
        <f aca="false">SUM(D6:D26)</f>
        <v>77</v>
      </c>
      <c r="E27" s="8" t="n">
        <f aca="false">SUM(E6:E26)</f>
        <v>232</v>
      </c>
      <c r="F27" s="8" t="n">
        <f aca="false">SUM(F6:F26)</f>
        <v>234</v>
      </c>
      <c r="G27" s="8" t="n">
        <f aca="false">SUM(G6:G26)</f>
        <v>495</v>
      </c>
      <c r="H27" s="8" t="n">
        <f aca="false">SUM(H6:H26)</f>
        <v>501</v>
      </c>
      <c r="I27" s="8" t="n">
        <f aca="false">SUM(I6:I26)</f>
        <v>1196</v>
      </c>
      <c r="J27" s="8" t="n">
        <f aca="false">SUM(J6:J26)</f>
        <v>1205</v>
      </c>
      <c r="K27" s="9"/>
    </row>
    <row r="29" customFormat="false" ht="17.15" hidden="false" customHeight="false" outlineLevel="0" collapsed="false">
      <c r="B29" s="10" t="s">
        <v>55</v>
      </c>
      <c r="C29" s="5" t="n">
        <v>77</v>
      </c>
      <c r="D29" s="5" t="n">
        <v>77</v>
      </c>
      <c r="E29" s="5" t="n">
        <v>232</v>
      </c>
      <c r="F29" s="5" t="n">
        <v>234</v>
      </c>
      <c r="G29" s="5" t="n">
        <v>495</v>
      </c>
      <c r="H29" s="5" t="n">
        <v>501</v>
      </c>
      <c r="I29" s="5" t="n">
        <v>1196</v>
      </c>
      <c r="J29" s="5" t="n">
        <v>1205</v>
      </c>
    </row>
    <row r="30" customFormat="false" ht="15" hidden="false" customHeight="false" outlineLevel="0" collapsed="false">
      <c r="B30" s="11" t="s">
        <v>56</v>
      </c>
      <c r="C30" s="12" t="str">
        <f aca="false">IF(C27=C29,"OK","불일치")</f>
        <v>OK</v>
      </c>
      <c r="D30" s="12" t="str">
        <f aca="false">IF(D27=D29,"OK","불일치")</f>
        <v>OK</v>
      </c>
      <c r="E30" s="12" t="str">
        <f aca="false">IF(E27=E29,"OK","불일치")</f>
        <v>OK</v>
      </c>
      <c r="F30" s="12" t="str">
        <f aca="false">IF(F27=F29,"OK","불일치")</f>
        <v>OK</v>
      </c>
      <c r="G30" s="12" t="str">
        <f aca="false">IF(G27=G29,"OK","불일치")</f>
        <v>OK</v>
      </c>
      <c r="H30" s="12" t="str">
        <f aca="false">IF(H27=H29,"OK","불일치")</f>
        <v>OK</v>
      </c>
      <c r="I30" s="12" t="str">
        <f aca="false">IF(I27=I29,"OK","불일치")</f>
        <v>OK</v>
      </c>
      <c r="J30" s="12" t="str">
        <f aca="false">IF(J27=J29,"OK","불일치")</f>
        <v>OK</v>
      </c>
    </row>
  </sheetData>
  <mergeCells count="6">
    <mergeCell ref="A4:A5"/>
    <mergeCell ref="B4:B5"/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2026-08-04T08:03:47Z</dcterms:created>
  <dc:creator>openpyxl</dc:creator>
  <dc:description/>
  <dc:language>en-US</dc:language>
  <cp:lastModifiedBy/>
  <dcterms:modified xsi:type="dcterms:W3CDTF">2026-08-04T08:03:47Z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